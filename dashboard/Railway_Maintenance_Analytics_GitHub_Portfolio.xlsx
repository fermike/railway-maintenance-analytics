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T_Performance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_Data_Monthly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 h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1"/>
    </font>
    <font>
      <b val="1"/>
      <color rgb="00FFFFFF"/>
    </font>
    <font>
      <b val="1"/>
      <color rgb="0017365D"/>
      <sz val="18"/>
    </font>
    <font>
      <b val="1"/>
      <color rgb="00FFFFFF"/>
      <sz val="18"/>
    </font>
    <font>
      <color rgb="0017365D"/>
      <sz val="11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2" borderId="1" applyAlignment="1" pivotButton="0" quotePrefix="0" xfId="0">
      <alignment vertical="top" wrapText="1"/>
    </xf>
    <xf numFmtId="0" fontId="0" fillId="0" borderId="2" pivotButton="0" quotePrefix="0" xfId="0"/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MTBS vs MTTR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'Dashboard'!$A$11:$A$20</f>
            </numRef>
          </cat>
          <val>
            <numRef>
              <f>'Dashboard'!$C$11:$C$20</f>
            </numRef>
          </val>
        </ser>
        <ser>
          <idx val="1"/>
          <order val="1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'Dashboard'!$A$11:$A$20</f>
            </numRef>
          </cat>
          <val>
            <numRef>
              <f>'Dashboard'!$D$11:$D$20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Disponibilidad mecánica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'Dashboard'!$A$11:$A$20</f>
            </numRef>
          </cat>
          <val>
            <numRef>
              <f>'Dashboard'!$E$11:$E$20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OT Correctivas vs Preventivas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'Dashboard'!$A$11:$A$20</f>
            </numRef>
          </cat>
          <val>
            <numRef>
              <f>'Dashboard'!$G$11:$G$20</f>
            </numRef>
          </val>
        </ser>
        <ser>
          <idx val="1"/>
          <order val="1"/>
          <tx>
            <strRef>
              <f>'Dashboard'!H10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'Dashboard'!$A$11:$A$20</f>
            </numRef>
          </cat>
          <val>
            <numRef>
              <f>'Dashboard'!$H$11:$H$20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8" customWidth="1" min="5" max="5"/>
    <col width="13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RAILWAY MAINTENANCE ANALYTICS | PORTFOLIO DASHBOARD</t>
        </is>
      </c>
    </row>
    <row r="2"/>
    <row r="3">
      <c r="A3" s="2" t="inlineStr">
        <is>
          <t>Rolling Stock Maintenance • Reliability Engineering • Data Analytics • Dec 2025 – Sep 2026</t>
        </is>
      </c>
    </row>
    <row r="4"/>
    <row r="5">
      <c r="B5" s="3" t="inlineStr">
        <is>
          <t>MTBS Sep-26</t>
        </is>
      </c>
      <c r="D5" s="3" t="inlineStr">
        <is>
          <t>MTTR Sep-26</t>
        </is>
      </c>
      <c r="F5" s="3" t="inlineStr">
        <is>
          <t>Disponibilidad</t>
        </is>
      </c>
      <c r="H5" s="3" t="inlineStr">
        <is>
          <t>OT totales</t>
        </is>
      </c>
      <c r="J5" s="3" t="inlineStr">
        <is>
          <t>OT correctivas</t>
        </is>
      </c>
    </row>
    <row r="6">
      <c r="B6" s="4" t="n">
        <v>79.40612179487169</v>
      </c>
      <c r="D6" s="4" t="n">
        <v>3.74107905982906</v>
      </c>
      <c r="F6" s="5" t="n">
        <v>95.3231265847926</v>
      </c>
      <c r="H6" s="6" t="n">
        <v>3770</v>
      </c>
      <c r="J6" s="6" t="n">
        <v>122</v>
      </c>
    </row>
    <row r="7"/>
    <row r="8"/>
    <row r="9"/>
    <row r="10">
      <c r="A10" s="7" t="inlineStr">
        <is>
          <t>Periodo</t>
        </is>
      </c>
      <c r="B10" s="7" t="inlineStr">
        <is>
          <t>Mes</t>
        </is>
      </c>
      <c r="C10" s="7" t="inlineStr">
        <is>
          <t>MTBS (h)</t>
        </is>
      </c>
      <c r="D10" s="7" t="inlineStr">
        <is>
          <t>MTTR (h)</t>
        </is>
      </c>
      <c r="E10" s="7" t="inlineStr">
        <is>
          <t>Disponibilidad (%)</t>
        </is>
      </c>
      <c r="F10" s="7" t="inlineStr">
        <is>
          <t>OT totales</t>
        </is>
      </c>
      <c r="G10" s="7" t="inlineStr">
        <is>
          <t>OT correctivas</t>
        </is>
      </c>
      <c r="H10" s="7" t="inlineStr">
        <is>
          <t>OT preventivas</t>
        </is>
      </c>
      <c r="I10" s="7" t="inlineStr">
        <is>
          <t>% correctivo</t>
        </is>
      </c>
    </row>
    <row r="11">
      <c r="A11" s="8" t="inlineStr">
        <is>
          <t>2025-12</t>
        </is>
      </c>
      <c r="B11" s="8" t="inlineStr">
        <is>
          <t>Diciembre 2025</t>
        </is>
      </c>
      <c r="C11" s="9" t="n">
        <v>74.59764560439558</v>
      </c>
      <c r="D11" s="9" t="n">
        <v>1.938598901098901</v>
      </c>
      <c r="E11" s="10" t="n">
        <v>0.9723144891332496</v>
      </c>
      <c r="F11" s="8" t="n">
        <v>526</v>
      </c>
      <c r="G11" s="8" t="n">
        <v>24</v>
      </c>
      <c r="H11" s="8" t="n">
        <v>204</v>
      </c>
      <c r="I11" s="10" t="n">
        <v>0.04562737642585551</v>
      </c>
    </row>
    <row r="12">
      <c r="A12" s="8" t="inlineStr">
        <is>
          <t>2026-01</t>
        </is>
      </c>
      <c r="B12" s="8" t="inlineStr">
        <is>
          <t>Enero 2026</t>
        </is>
      </c>
      <c r="C12" s="9" t="n">
        <v>65.59066880341885</v>
      </c>
      <c r="D12" s="9" t="n">
        <v>2.335167378917379</v>
      </c>
      <c r="E12" s="10" t="n">
        <v>0.9606769649408449</v>
      </c>
      <c r="F12" s="8" t="n">
        <v>301</v>
      </c>
      <c r="G12" s="8" t="n">
        <v>20</v>
      </c>
      <c r="H12" s="8" t="n">
        <v>89</v>
      </c>
      <c r="I12" s="10" t="n">
        <v>0.0664451827242525</v>
      </c>
    </row>
    <row r="13">
      <c r="A13" s="8" t="inlineStr">
        <is>
          <t>2026-02</t>
        </is>
      </c>
      <c r="B13" s="8" t="inlineStr">
        <is>
          <t>Febrero 2026</t>
        </is>
      </c>
      <c r="C13" s="9" t="n">
        <v>75.41856250000004</v>
      </c>
      <c r="D13" s="9" t="n">
        <v>2.087094907407407</v>
      </c>
      <c r="E13" s="10" t="n">
        <v>0.9533403888333315</v>
      </c>
      <c r="F13" s="8" t="n">
        <v>269</v>
      </c>
      <c r="G13" s="8" t="n">
        <v>6</v>
      </c>
      <c r="H13" s="8" t="n">
        <v>120</v>
      </c>
      <c r="I13" s="10" t="n">
        <v>0.02230483271375465</v>
      </c>
    </row>
    <row r="14">
      <c r="A14" s="8" t="inlineStr">
        <is>
          <t>2026-03</t>
        </is>
      </c>
      <c r="B14" s="8" t="inlineStr">
        <is>
          <t>Marzo 2026</t>
        </is>
      </c>
      <c r="C14" s="9" t="n">
        <v>61.82734623015859</v>
      </c>
      <c r="D14" s="9" t="n">
        <v>3.020717592592593</v>
      </c>
      <c r="E14" s="10" t="n">
        <v>0.9545386589594478</v>
      </c>
      <c r="F14" s="8" t="n">
        <v>411</v>
      </c>
      <c r="G14" s="8" t="n">
        <v>6</v>
      </c>
      <c r="H14" s="8" t="n">
        <v>203</v>
      </c>
      <c r="I14" s="10" t="n">
        <v>0.0145985401459854</v>
      </c>
    </row>
    <row r="15">
      <c r="A15" s="8" t="inlineStr">
        <is>
          <t>2026-04</t>
        </is>
      </c>
      <c r="B15" s="8" t="inlineStr">
        <is>
          <t>Abril 2026</t>
        </is>
      </c>
      <c r="C15" s="9" t="n">
        <v>76.40005092592598</v>
      </c>
      <c r="D15" s="9" t="n">
        <v>2.781768077601411</v>
      </c>
      <c r="E15" s="10" t="n">
        <v>0.9561511310899189</v>
      </c>
      <c r="F15" s="8" t="n">
        <v>327</v>
      </c>
      <c r="G15" s="8" t="n">
        <v>15</v>
      </c>
      <c r="H15" s="8" t="n">
        <v>181</v>
      </c>
      <c r="I15" s="10" t="n">
        <v>0.04587155963302753</v>
      </c>
    </row>
    <row r="16">
      <c r="A16" s="8" t="inlineStr">
        <is>
          <t>2026-05</t>
        </is>
      </c>
      <c r="B16" s="8" t="inlineStr">
        <is>
          <t>Mayo 2026</t>
        </is>
      </c>
      <c r="C16" s="9" t="n">
        <v>69.06971164021139</v>
      </c>
      <c r="D16" s="9" t="n">
        <v>2.058217592592592</v>
      </c>
      <c r="E16" s="10" t="n">
        <v>0.9673516646284959</v>
      </c>
      <c r="F16" s="8" t="n">
        <v>426</v>
      </c>
      <c r="G16" s="8" t="n">
        <v>15</v>
      </c>
      <c r="H16" s="8" t="n">
        <v>271</v>
      </c>
      <c r="I16" s="10" t="n">
        <v>0.0352112676056338</v>
      </c>
    </row>
    <row r="17">
      <c r="A17" s="8" t="inlineStr">
        <is>
          <t>2026-06</t>
        </is>
      </c>
      <c r="B17" s="8" t="inlineStr">
        <is>
          <t>Junio 2026</t>
        </is>
      </c>
      <c r="C17" s="9" t="n">
        <v>69.97392032967046</v>
      </c>
      <c r="D17" s="9" t="n">
        <v>2.610920329670329</v>
      </c>
      <c r="E17" s="10" t="n">
        <v>0.9375162496406219</v>
      </c>
      <c r="F17" s="8" t="n">
        <v>286</v>
      </c>
      <c r="G17" s="8" t="n">
        <v>7</v>
      </c>
      <c r="H17" s="8" t="n">
        <v>181</v>
      </c>
      <c r="I17" s="10" t="n">
        <v>0.02447552447552448</v>
      </c>
    </row>
    <row r="18">
      <c r="A18" s="8" t="inlineStr">
        <is>
          <t>2026-07</t>
        </is>
      </c>
      <c r="B18" s="8" t="inlineStr">
        <is>
          <t>Julio 2026</t>
        </is>
      </c>
      <c r="C18" s="9" t="n">
        <v>76.0630844155842</v>
      </c>
      <c r="D18" s="9" t="n">
        <v>3.17502442002442</v>
      </c>
      <c r="E18" s="10" t="n">
        <v>0.9593701333301362</v>
      </c>
      <c r="F18" s="8" t="n">
        <v>619</v>
      </c>
      <c r="G18" s="8" t="n">
        <v>11</v>
      </c>
      <c r="H18" s="8" t="n">
        <v>501</v>
      </c>
      <c r="I18" s="10" t="n">
        <v>0.01777059773828756</v>
      </c>
    </row>
    <row r="19">
      <c r="A19" s="8" t="inlineStr">
        <is>
          <t>2026-08</t>
        </is>
      </c>
      <c r="B19" s="8" t="inlineStr">
        <is>
          <t>Agosto 2026</t>
        </is>
      </c>
      <c r="C19" s="9" t="n">
        <v>66.23457600732617</v>
      </c>
      <c r="D19" s="9" t="n">
        <v>2.931359381359381</v>
      </c>
      <c r="E19" s="10" t="n">
        <v>0.9541699669391487</v>
      </c>
      <c r="F19" s="8" t="n">
        <v>219</v>
      </c>
      <c r="G19" s="8" t="n">
        <v>9</v>
      </c>
      <c r="H19" s="8" t="n">
        <v>106</v>
      </c>
      <c r="I19" s="10" t="n">
        <v>0.0410958904109589</v>
      </c>
    </row>
    <row r="20">
      <c r="A20" s="8" t="inlineStr">
        <is>
          <t>2026-09</t>
        </is>
      </c>
      <c r="B20" s="8" t="inlineStr">
        <is>
          <t>Septiembre 2026</t>
        </is>
      </c>
      <c r="C20" s="9" t="n">
        <v>79.40612179487169</v>
      </c>
      <c r="D20" s="9" t="n">
        <v>3.74107905982906</v>
      </c>
      <c r="E20" s="10" t="n">
        <v>0.9532312658479261</v>
      </c>
      <c r="F20" s="8" t="n">
        <v>386</v>
      </c>
      <c r="G20" s="8" t="n">
        <v>9</v>
      </c>
      <c r="H20" s="8" t="n">
        <v>247</v>
      </c>
      <c r="I20" s="10" t="n">
        <v>0.0233160621761658</v>
      </c>
    </row>
  </sheetData>
  <mergeCells count="12">
    <mergeCell ref="J5:K5"/>
    <mergeCell ref="H6:I7"/>
    <mergeCell ref="B5:C5"/>
    <mergeCell ref="J6:K7"/>
    <mergeCell ref="F5:G5"/>
    <mergeCell ref="D5:E5"/>
    <mergeCell ref="A1:L2"/>
    <mergeCell ref="D6:E7"/>
    <mergeCell ref="B6:C7"/>
    <mergeCell ref="H5:I5"/>
    <mergeCell ref="F6:G7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UT</t>
        </is>
      </c>
      <c r="B1" s="7" t="inlineStr">
        <is>
          <t>OT totales</t>
        </is>
      </c>
      <c r="C1" s="7" t="inlineStr">
        <is>
          <t>OT correctivas</t>
        </is>
      </c>
      <c r="D1" s="7" t="inlineStr">
        <is>
          <t>OT preventivas</t>
        </is>
      </c>
      <c r="E1" s="7" t="inlineStr">
        <is>
          <t>% correctivo</t>
        </is>
      </c>
      <c r="F1" s="7" t="inlineStr">
        <is>
          <t>MTBS Sep (h)</t>
        </is>
      </c>
      <c r="G1" s="7" t="inlineStr">
        <is>
          <t>MTTR Sep (h)</t>
        </is>
      </c>
      <c r="H1" s="7" t="inlineStr">
        <is>
          <t>Disponibilidad Sep (%)</t>
        </is>
      </c>
    </row>
    <row r="2">
      <c r="A2" s="8" t="inlineStr">
        <is>
          <t>UT01</t>
        </is>
      </c>
      <c r="B2" s="8" t="n">
        <v>0</v>
      </c>
      <c r="C2" s="8" t="n">
        <v>0</v>
      </c>
      <c r="D2" s="8" t="n">
        <v>0</v>
      </c>
      <c r="E2" s="10" t="n">
        <v/>
      </c>
      <c r="F2" s="9" t="n">
        <v>54.3737499999997</v>
      </c>
      <c r="G2" s="9" t="n">
        <v>2.07291666666667</v>
      </c>
      <c r="H2" s="10" t="n">
        <v>0.963276544230542</v>
      </c>
    </row>
    <row r="3">
      <c r="A3" s="8" t="inlineStr">
        <is>
          <t>UT02</t>
        </is>
      </c>
      <c r="B3" s="8" t="n">
        <v>0</v>
      </c>
      <c r="C3" s="8" t="n">
        <v>0</v>
      </c>
      <c r="D3" s="8" t="n">
        <v>0</v>
      </c>
      <c r="E3" s="10" t="n">
        <v/>
      </c>
      <c r="F3" s="9" t="n">
        <v>83.07600000000021</v>
      </c>
      <c r="G3" s="9" t="n">
        <v>1.8</v>
      </c>
      <c r="H3" s="10" t="n">
        <v>0.978792591545313</v>
      </c>
    </row>
    <row r="4">
      <c r="A4" s="8" t="inlineStr">
        <is>
          <t>UT03</t>
        </is>
      </c>
      <c r="B4" s="8" t="n">
        <v>0</v>
      </c>
      <c r="C4" s="8" t="n">
        <v>0</v>
      </c>
      <c r="D4" s="8" t="n">
        <v>0</v>
      </c>
      <c r="E4" s="10" t="n">
        <v/>
      </c>
      <c r="F4" s="9" t="n">
        <v>80.9839999999997</v>
      </c>
      <c r="G4" s="9" t="n">
        <v>2.1</v>
      </c>
      <c r="H4" s="10" t="n">
        <v>0.97472437533099</v>
      </c>
    </row>
    <row r="5">
      <c r="A5" s="8" t="inlineStr">
        <is>
          <t>UT04</t>
        </is>
      </c>
      <c r="B5" s="8" t="n">
        <v>0</v>
      </c>
      <c r="C5" s="8" t="n">
        <v>0</v>
      </c>
      <c r="D5" s="8" t="n">
        <v>0</v>
      </c>
      <c r="E5" s="10" t="n">
        <v/>
      </c>
      <c r="F5" s="9" t="n">
        <v>75.4380000000005</v>
      </c>
      <c r="G5" s="9" t="n">
        <v>13.4</v>
      </c>
      <c r="H5" s="10" t="n">
        <v>0.849163646187443</v>
      </c>
    </row>
    <row r="6">
      <c r="A6" s="8" t="inlineStr">
        <is>
          <t>UT05</t>
        </is>
      </c>
      <c r="B6" s="8" t="n">
        <v>0</v>
      </c>
      <c r="C6" s="8" t="n">
        <v>0</v>
      </c>
      <c r="D6" s="8" t="n">
        <v>0</v>
      </c>
      <c r="E6" s="10" t="n">
        <v/>
      </c>
      <c r="F6" s="9" t="n">
        <v>50.3119999999995</v>
      </c>
      <c r="G6" s="9" t="n">
        <v>2.5</v>
      </c>
      <c r="H6" s="10" t="n">
        <v>0.952662273725668</v>
      </c>
    </row>
    <row r="7">
      <c r="A7" s="8" t="inlineStr">
        <is>
          <t>UT06</t>
        </is>
      </c>
      <c r="B7" s="8" t="n">
        <v>0</v>
      </c>
      <c r="C7" s="8" t="n">
        <v>0</v>
      </c>
      <c r="D7" s="8" t="n">
        <v>0</v>
      </c>
      <c r="E7" s="10" t="n">
        <v/>
      </c>
      <c r="F7" s="9" t="n">
        <v>89.2960000000006</v>
      </c>
      <c r="G7" s="9" t="n">
        <v>3.93333333333333</v>
      </c>
      <c r="H7" s="10" t="n">
        <v>0.957810131289151</v>
      </c>
    </row>
    <row r="8">
      <c r="A8" s="8" t="inlineStr">
        <is>
          <t>UT07</t>
        </is>
      </c>
      <c r="B8" s="8" t="n">
        <v>0</v>
      </c>
      <c r="C8" s="8" t="n">
        <v>0</v>
      </c>
      <c r="D8" s="8" t="n">
        <v>0</v>
      </c>
      <c r="E8" s="10" t="n">
        <v/>
      </c>
      <c r="F8" s="9" t="n">
        <v>76.28399999999969</v>
      </c>
      <c r="G8" s="9" t="n">
        <v>2.15</v>
      </c>
      <c r="H8" s="10" t="n">
        <v>0.972588418287987</v>
      </c>
    </row>
    <row r="9">
      <c r="A9" s="8" t="inlineStr">
        <is>
          <t>UT08</t>
        </is>
      </c>
      <c r="B9" s="8" t="n">
        <v>0</v>
      </c>
      <c r="C9" s="8" t="n">
        <v>0</v>
      </c>
      <c r="D9" s="8" t="n">
        <v>0</v>
      </c>
      <c r="E9" s="10" t="n">
        <v/>
      </c>
      <c r="F9" s="9" t="n">
        <v>78.4839999999997</v>
      </c>
      <c r="G9" s="9" t="n">
        <v>1.65</v>
      </c>
      <c r="H9" s="10" t="n">
        <v>0.979409489105748</v>
      </c>
    </row>
    <row r="10">
      <c r="A10" s="8" t="inlineStr">
        <is>
          <t>UT09</t>
        </is>
      </c>
      <c r="B10" s="8" t="n">
        <v>0</v>
      </c>
      <c r="C10" s="8" t="n">
        <v>0</v>
      </c>
      <c r="D10" s="8" t="n">
        <v>0</v>
      </c>
      <c r="E10" s="10" t="n">
        <v/>
      </c>
      <c r="F10" s="9" t="n">
        <v>153.209999999999</v>
      </c>
      <c r="G10" s="9" t="n">
        <v>2</v>
      </c>
      <c r="H10" s="10" t="n">
        <v>0.987114232330391</v>
      </c>
    </row>
    <row r="11">
      <c r="A11" s="8" t="inlineStr">
        <is>
          <t>UT10</t>
        </is>
      </c>
      <c r="B11" s="8" t="n">
        <v>0</v>
      </c>
      <c r="C11" s="8" t="n">
        <v>0</v>
      </c>
      <c r="D11" s="8" t="n">
        <v>0</v>
      </c>
      <c r="E11" s="10" t="n">
        <v/>
      </c>
      <c r="F11" s="9" t="n">
        <v>69.3333333333333</v>
      </c>
      <c r="G11" s="9" t="n">
        <v>11.2777777777778</v>
      </c>
      <c r="H11" s="10" t="n">
        <v>0.860096485182633</v>
      </c>
    </row>
    <row r="12">
      <c r="A12" s="8" t="inlineStr">
        <is>
          <t>UT11</t>
        </is>
      </c>
      <c r="B12" s="8" t="n">
        <v>0</v>
      </c>
      <c r="C12" s="8" t="n">
        <v>0</v>
      </c>
      <c r="D12" s="8" t="n">
        <v>0</v>
      </c>
      <c r="E12" s="10" t="n">
        <v/>
      </c>
      <c r="F12" s="9" t="n">
        <v>89.5</v>
      </c>
      <c r="G12" s="9" t="n">
        <v>1.7</v>
      </c>
      <c r="H12" s="10" t="n">
        <v>0.981359649122807</v>
      </c>
    </row>
    <row r="13">
      <c r="A13" s="8" t="inlineStr">
        <is>
          <t>UT12</t>
        </is>
      </c>
      <c r="B13" s="8" t="n">
        <v>0</v>
      </c>
      <c r="C13" s="8" t="n">
        <v>0</v>
      </c>
      <c r="D13" s="8" t="n">
        <v>0</v>
      </c>
      <c r="E13" s="10" t="n">
        <v/>
      </c>
      <c r="F13" s="9" t="n">
        <v>41.8924999999999</v>
      </c>
      <c r="G13" s="9" t="n">
        <v>1.75</v>
      </c>
      <c r="H13" s="10" t="n">
        <v>0.9599014721888069</v>
      </c>
    </row>
    <row r="14">
      <c r="A14" s="8" t="inlineStr">
        <is>
          <t>UT13</t>
        </is>
      </c>
      <c r="B14" s="8" t="n">
        <v>0</v>
      </c>
      <c r="C14" s="8" t="n">
        <v>0</v>
      </c>
      <c r="D14" s="8" t="n">
        <v>0</v>
      </c>
      <c r="E14" s="10" t="n">
        <v/>
      </c>
      <c r="F14" s="9" t="n">
        <v>90.0959999999999</v>
      </c>
      <c r="G14" s="9" t="n">
        <v>2.3</v>
      </c>
      <c r="H14" s="10" t="n">
        <v>0.975107147495563</v>
      </c>
    </row>
    <row r="15">
      <c r="A15" s="8" t="inlineStr">
        <is>
          <t>UT14</t>
        </is>
      </c>
      <c r="B15" s="8" t="n">
        <v>0</v>
      </c>
      <c r="C15" s="8" t="n">
        <v>0</v>
      </c>
      <c r="D15" s="8" t="n">
        <v>0</v>
      </c>
      <c r="E15" s="10" t="n">
        <v/>
      </c>
      <c r="F15" s="9" t="n">
        <v>0</v>
      </c>
      <c r="G15" s="9" t="n">
        <v>1.875</v>
      </c>
      <c r="H15" s="10" t="n">
        <v>0</v>
      </c>
    </row>
  </sheetData>
  <conditionalFormatting sqref="E2:E15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42" customHeight="1">
      <c r="A1" s="11" t="inlineStr">
        <is>
          <t>RAILWAY MAINTENANCE ANALYTICS – PROFESSIONAL PORTFOLIO</t>
        </is>
      </c>
      <c r="B1" s="12" t="n"/>
      <c r="C1" s="12" t="n"/>
      <c r="D1" s="12" t="n"/>
      <c r="E1" s="12" t="n"/>
      <c r="F1" s="12" t="n"/>
      <c r="G1" s="12" t="n"/>
      <c r="H1" s="12" t="n"/>
    </row>
    <row r="2" ht="24" customHeight="1"/>
    <row r="3" ht="24" customHeight="1">
      <c r="A3" s="13" t="inlineStr">
        <is>
          <t>Objective</t>
        </is>
      </c>
    </row>
    <row r="4" ht="42" customHeight="1">
      <c r="A4" s="14" t="inlineStr">
        <is>
          <t>Demonstrate the application of maintenance engineering, reliability analysis and data analytics to rolling stock maintenance.</t>
        </is>
      </c>
    </row>
    <row r="5" ht="24" customHeight="1"/>
    <row r="6" ht="24" customHeight="1">
      <c r="A6" s="13" t="inlineStr">
        <is>
          <t>Analysis scope</t>
        </is>
      </c>
    </row>
    <row r="7" ht="42" customHeight="1">
      <c r="A7" s="14" t="inlineStr">
        <is>
          <t>14 rolling-stock units • Dec 2025–Sep 2026 • MTBS • MTTR • Mechanical Availability • Work Orders • Preventive/Corrective mix</t>
        </is>
      </c>
    </row>
    <row r="8" ht="24" customHeight="1"/>
    <row r="9" ht="24" customHeight="1">
      <c r="A9" s="13" t="inlineStr">
        <is>
          <t>Methods</t>
        </is>
      </c>
    </row>
    <row r="10" ht="42" customHeight="1">
      <c r="A10" s="14" t="inlineStr">
        <is>
          <t>KPI trend analysis, fleet/UT comparison, corrective-vs-preventive analysis, reliability interpretation and maintenance decision support.</t>
        </is>
      </c>
    </row>
    <row r="11" ht="24" customHeight="1"/>
    <row r="12" ht="24" customHeight="1">
      <c r="A12" s="13" t="inlineStr">
        <is>
          <t>Professional skills demonstrated</t>
        </is>
      </c>
    </row>
    <row r="13" ht="42" customHeight="1">
      <c r="A13" s="14" t="inlineStr">
        <is>
          <t>Railway systems | Rolling stock maintenance | Reliability engineering | GMAO/CMMS | Excel | Python | Data visualization | Maintenance KPIs</t>
        </is>
      </c>
    </row>
    <row r="14" ht="24" customHeight="1"/>
    <row r="15" ht="24" customHeight="1">
      <c r="A15" s="13" t="inlineStr">
        <is>
          <t>Confidentiality</t>
        </is>
      </c>
    </row>
    <row r="16" ht="42" customHeight="1">
      <c r="A16" s="14" t="inlineStr">
        <is>
          <t>Public portfolio should use anonymized or synthetic data. Internal asset identifiers, network paths, procedures, suppliers and company-specific information must be removed before publication.</t>
        </is>
      </c>
    </row>
    <row r="17" ht="24" customHeight="1"/>
    <row r="18" ht="24" customHeight="1">
      <c r="A18" s="13" t="inlineStr">
        <is>
          <t>Important metric note</t>
        </is>
      </c>
    </row>
    <row r="19" ht="42" customHeight="1">
      <c r="A19" s="14" t="inlineStr">
        <is>
          <t>MTTR/MTBS values shown here come from the monthly maintenance KPI source. OT calendar elapsed time is not treated as MTTR because it can include waiting, parts, supplier and administrative delays.</t>
        </is>
      </c>
    </row>
    <row r="20" ht="24" customHeight="1"/>
    <row r="21" ht="24" customHeight="1">
      <c r="A21" s="13" t="inlineStr">
        <is>
          <t>Suggested GitHub project title</t>
        </is>
      </c>
    </row>
    <row r="22" ht="24" customHeight="1">
      <c r="A22" s="14" t="inlineStr">
        <is>
          <t>Railway Maintenance Analytics | Rolling Stock Reliability Dashboard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5" t="inlineStr">
        <is>
          <t>Metric</t>
        </is>
      </c>
      <c r="B1" s="16" t="inlineStr">
        <is>
          <t>Definition / use</t>
        </is>
      </c>
    </row>
    <row r="2">
      <c r="A2" s="17" t="inlineStr">
        <is>
          <t>MTBS</t>
        </is>
      </c>
      <c r="B2" s="18" t="inlineStr">
        <is>
          <t>Mean Time Between Stops/Failures, based on the monthly maintenance KPI source.</t>
        </is>
      </c>
    </row>
    <row r="3">
      <c r="A3" s="17" t="inlineStr">
        <is>
          <t>MTTR</t>
        </is>
      </c>
      <c r="B3" s="18" t="inlineStr">
        <is>
          <t>Mean Time To Repair, based on the monthly maintenance KPI source.</t>
        </is>
      </c>
    </row>
    <row r="4">
      <c r="A4" s="17" t="inlineStr">
        <is>
          <t>Availability</t>
        </is>
      </c>
      <c r="B4" s="18" t="inlineStr">
        <is>
          <t>Mechanical availability reported by the monthly KPI source.</t>
        </is>
      </c>
    </row>
    <row r="5">
      <c r="A5" s="17" t="inlineStr">
        <is>
          <t>OT total</t>
        </is>
      </c>
      <c r="B5" s="18" t="inlineStr">
        <is>
          <t>Unique work orders aggregated by OT number.</t>
        </is>
      </c>
    </row>
    <row r="6">
      <c r="A6" s="17" t="inlineStr">
        <is>
          <t>OT corrective</t>
        </is>
      </c>
      <c r="B6" s="18" t="inlineStr">
        <is>
          <t>Unique OTs whose work class is CO.</t>
        </is>
      </c>
    </row>
    <row r="7">
      <c r="A7" s="17" t="inlineStr">
        <is>
          <t>OT preventive</t>
        </is>
      </c>
      <c r="B7" s="18" t="inlineStr">
        <is>
          <t>Unique OTs whose work class is PV.</t>
        </is>
      </c>
    </row>
    <row r="8">
      <c r="A8" s="17" t="inlineStr">
        <is>
          <t>Data boundary</t>
        </is>
      </c>
      <c r="B8" s="18" t="inlineStr">
        <is>
          <t>Rolling-stock assets mapped to UT1001–UT1014 for Dec 2025–Sep 2026.</t>
        </is>
      </c>
    </row>
    <row r="9">
      <c r="A9" s="17" t="inlineStr">
        <is>
          <t>Public-use rule</t>
        </is>
      </c>
      <c r="B9" s="18" t="inlineStr">
        <is>
          <t>Anonymize internal data before publishing to GitHub.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Mes</t>
        </is>
      </c>
      <c r="B1" s="19" t="inlineStr">
        <is>
          <t>Horas funcionamiento (prom.)</t>
        </is>
      </c>
      <c r="C1" s="19" t="inlineStr">
        <is>
          <t>Horas detención (prom.)</t>
        </is>
      </c>
      <c r="D1" s="19" t="inlineStr">
        <is>
          <t>Detenciones (prom.)</t>
        </is>
      </c>
      <c r="E1" s="19" t="inlineStr">
        <is>
          <t>MTBS prom. (h)</t>
        </is>
      </c>
      <c r="F1" s="19" t="inlineStr">
        <is>
          <t>MTTR prom. (h)</t>
        </is>
      </c>
      <c r="G1" s="19" t="inlineStr">
        <is>
          <t>Disponibilidad mecánica (%)</t>
        </is>
      </c>
      <c r="H1" s="19" t="inlineStr">
        <is>
          <t>Periodo</t>
        </is>
      </c>
      <c r="I1" s="19" t="inlineStr">
        <is>
          <t>OT_totales</t>
        </is>
      </c>
      <c r="J1" s="19" t="inlineStr">
        <is>
          <t>OT_correctivas</t>
        </is>
      </c>
      <c r="K1" s="19" t="inlineStr">
        <is>
          <t>OT_preventivas</t>
        </is>
      </c>
      <c r="L1" s="19" t="inlineStr">
        <is>
          <t>% correctivo</t>
        </is>
      </c>
    </row>
    <row r="2">
      <c r="A2" s="19" t="inlineStr">
        <is>
          <t>Diciembre 2025</t>
        </is>
      </c>
      <c r="B2" s="19" t="n">
        <v>354.3584615384613</v>
      </c>
      <c r="C2" s="19" t="n">
        <v>10.10897435897436</v>
      </c>
      <c r="D2" s="19" t="n">
        <v>5.307692307692307</v>
      </c>
      <c r="E2" s="19" t="n">
        <v>74.59764560439558</v>
      </c>
      <c r="F2" s="19" t="n">
        <v>1.938598901098901</v>
      </c>
      <c r="G2" s="19" t="n">
        <v>97.23144891332495</v>
      </c>
      <c r="H2" s="19" t="inlineStr">
        <is>
          <t>2025-12</t>
        </is>
      </c>
      <c r="I2" s="19" t="n">
        <v>526</v>
      </c>
      <c r="J2" s="19" t="n">
        <v>24</v>
      </c>
      <c r="K2" s="19" t="n">
        <v>204</v>
      </c>
      <c r="L2" s="19" t="n">
        <v>0.04562737642585551</v>
      </c>
    </row>
    <row r="3">
      <c r="A3" s="19" t="inlineStr">
        <is>
          <t>Enero 2026</t>
        </is>
      </c>
      <c r="B3" s="19" t="n">
        <v>418.1984615384617</v>
      </c>
      <c r="C3" s="19" t="n">
        <v>16.84615384615385</v>
      </c>
      <c r="D3" s="19" t="n">
        <v>6.846153846153846</v>
      </c>
      <c r="E3" s="19" t="n">
        <v>65.59066880341885</v>
      </c>
      <c r="F3" s="19" t="n">
        <v>2.335167378917379</v>
      </c>
      <c r="G3" s="19" t="n">
        <v>96.06769649408449</v>
      </c>
      <c r="H3" s="19" t="inlineStr">
        <is>
          <t>2026-01</t>
        </is>
      </c>
      <c r="I3" s="19" t="n">
        <v>301</v>
      </c>
      <c r="J3" s="19" t="n">
        <v>20</v>
      </c>
      <c r="K3" s="19" t="n">
        <v>89</v>
      </c>
      <c r="L3" s="19" t="n">
        <v>0.0664451827242525</v>
      </c>
    </row>
    <row r="4">
      <c r="A4" s="19" t="inlineStr">
        <is>
          <t>Febrero 2026</t>
        </is>
      </c>
      <c r="B4" s="19" t="n">
        <v>364.8076923076923</v>
      </c>
      <c r="C4" s="19" t="n">
        <v>11.08333333333333</v>
      </c>
      <c r="D4" s="19" t="n">
        <v>5.384615384615385</v>
      </c>
      <c r="E4" s="19" t="n">
        <v>75.41856250000004</v>
      </c>
      <c r="F4" s="19" t="n">
        <v>2.087094907407407</v>
      </c>
      <c r="G4" s="19" t="n">
        <v>95.33403888333315</v>
      </c>
      <c r="H4" s="19" t="inlineStr">
        <is>
          <t>2026-02</t>
        </is>
      </c>
      <c r="I4" s="19" t="n">
        <v>269</v>
      </c>
      <c r="J4" s="19" t="n">
        <v>6</v>
      </c>
      <c r="K4" s="19" t="n">
        <v>120</v>
      </c>
      <c r="L4" s="19" t="n">
        <v>0.02230483271375465</v>
      </c>
    </row>
    <row r="5">
      <c r="A5" s="19" t="inlineStr">
        <is>
          <t>Marzo 2026</t>
        </is>
      </c>
      <c r="B5" s="19" t="n">
        <v>422.5061538461529</v>
      </c>
      <c r="C5" s="19" t="n">
        <v>19.32692307692308</v>
      </c>
      <c r="D5" s="19" t="n">
        <v>6.769230769230769</v>
      </c>
      <c r="E5" s="19" t="n">
        <v>61.82734623015859</v>
      </c>
      <c r="F5" s="19" t="n">
        <v>3.020717592592593</v>
      </c>
      <c r="G5" s="19" t="n">
        <v>95.45386589594477</v>
      </c>
      <c r="H5" s="19" t="inlineStr">
        <is>
          <t>2026-03</t>
        </is>
      </c>
      <c r="I5" s="19" t="n">
        <v>411</v>
      </c>
      <c r="J5" s="19" t="n">
        <v>6</v>
      </c>
      <c r="K5" s="19" t="n">
        <v>203</v>
      </c>
      <c r="L5" s="19" t="n">
        <v>0.0145985401459854</v>
      </c>
    </row>
    <row r="6">
      <c r="A6" s="19" t="inlineStr">
        <is>
          <t>Abril 2026</t>
        </is>
      </c>
      <c r="B6" s="19" t="n">
        <v>408.4400000000004</v>
      </c>
      <c r="C6" s="19" t="n">
        <v>16.71153846153846</v>
      </c>
      <c r="D6" s="19" t="n">
        <v>5.769230769230769</v>
      </c>
      <c r="E6" s="19" t="n">
        <v>76.40005092592598</v>
      </c>
      <c r="F6" s="19" t="n">
        <v>2.781768077601411</v>
      </c>
      <c r="G6" s="19" t="n">
        <v>95.61511310899189</v>
      </c>
      <c r="H6" s="19" t="inlineStr">
        <is>
          <t>2026-04</t>
        </is>
      </c>
      <c r="I6" s="19" t="n">
        <v>327</v>
      </c>
      <c r="J6" s="19" t="n">
        <v>15</v>
      </c>
      <c r="K6" s="19" t="n">
        <v>181</v>
      </c>
      <c r="L6" s="19" t="n">
        <v>0.04587155963302753</v>
      </c>
    </row>
    <row r="7">
      <c r="A7" s="19" t="inlineStr">
        <is>
          <t>Mayo 2026</t>
        </is>
      </c>
      <c r="B7" s="19" t="n">
        <v>415.7599999999987</v>
      </c>
      <c r="C7" s="19" t="n">
        <v>12.81410256410257</v>
      </c>
      <c r="D7" s="19" t="n">
        <v>6.230769230769231</v>
      </c>
      <c r="E7" s="19" t="n">
        <v>69.06971164021139</v>
      </c>
      <c r="F7" s="19" t="n">
        <v>2.058217592592592</v>
      </c>
      <c r="G7" s="19" t="n">
        <v>96.73516646284959</v>
      </c>
      <c r="H7" s="19" t="inlineStr">
        <is>
          <t>2026-05</t>
        </is>
      </c>
      <c r="I7" s="19" t="n">
        <v>426</v>
      </c>
      <c r="J7" s="19" t="n">
        <v>15</v>
      </c>
      <c r="K7" s="19" t="n">
        <v>271</v>
      </c>
      <c r="L7" s="19" t="n">
        <v>0.0352112676056338</v>
      </c>
    </row>
    <row r="8">
      <c r="A8" s="19" t="inlineStr">
        <is>
          <t>Junio 2026</t>
        </is>
      </c>
      <c r="B8" s="19" t="n">
        <v>358.7657142857149</v>
      </c>
      <c r="C8" s="19" t="n">
        <v>16.32692307692308</v>
      </c>
      <c r="D8" s="19" t="n">
        <v>5.692307692307693</v>
      </c>
      <c r="E8" s="19" t="n">
        <v>69.97392032967046</v>
      </c>
      <c r="F8" s="19" t="n">
        <v>2.610920329670329</v>
      </c>
      <c r="G8" s="19" t="n">
        <v>93.75162496406219</v>
      </c>
      <c r="H8" s="19" t="inlineStr">
        <is>
          <t>2026-06</t>
        </is>
      </c>
      <c r="I8" s="19" t="n">
        <v>286</v>
      </c>
      <c r="J8" s="19" t="n">
        <v>7</v>
      </c>
      <c r="K8" s="19" t="n">
        <v>181</v>
      </c>
      <c r="L8" s="19" t="n">
        <v>0.02447552447552448</v>
      </c>
    </row>
    <row r="9">
      <c r="A9" s="19" t="inlineStr">
        <is>
          <t>Julio 2026</t>
        </is>
      </c>
      <c r="B9" s="19" t="n">
        <v>419.2649999999988</v>
      </c>
      <c r="C9" s="19" t="n">
        <v>17.65</v>
      </c>
      <c r="D9" s="19" t="n">
        <v>5.769230769230769</v>
      </c>
      <c r="E9" s="19" t="n">
        <v>76.0630844155842</v>
      </c>
      <c r="F9" s="19" t="n">
        <v>3.17502442002442</v>
      </c>
      <c r="G9" s="19" t="n">
        <v>95.93701333301362</v>
      </c>
      <c r="H9" s="19" t="inlineStr">
        <is>
          <t>2026-07</t>
        </is>
      </c>
      <c r="I9" s="19" t="n">
        <v>619</v>
      </c>
      <c r="J9" s="19" t="n">
        <v>11</v>
      </c>
      <c r="K9" s="19" t="n">
        <v>501</v>
      </c>
      <c r="L9" s="19" t="n">
        <v>0.01777059773828756</v>
      </c>
    </row>
    <row r="10">
      <c r="A10" s="19" t="inlineStr">
        <is>
          <t>Agosto 2026</t>
        </is>
      </c>
      <c r="B10" s="19" t="n">
        <v>417.4915384615396</v>
      </c>
      <c r="C10" s="19" t="n">
        <v>19.64102564102564</v>
      </c>
      <c r="D10" s="19" t="n">
        <v>6.846153846153846</v>
      </c>
      <c r="E10" s="19" t="n">
        <v>66.23457600732617</v>
      </c>
      <c r="F10" s="19" t="n">
        <v>2.931359381359381</v>
      </c>
      <c r="G10" s="19" t="n">
        <v>95.41699669391487</v>
      </c>
      <c r="H10" s="19" t="inlineStr">
        <is>
          <t>2026-08</t>
        </is>
      </c>
      <c r="I10" s="19" t="n">
        <v>219</v>
      </c>
      <c r="J10" s="19" t="n">
        <v>9</v>
      </c>
      <c r="K10" s="19" t="n">
        <v>106</v>
      </c>
      <c r="L10" s="19" t="n">
        <v>0.0410958904109589</v>
      </c>
    </row>
    <row r="11">
      <c r="A11" s="19" t="inlineStr">
        <is>
          <t>Septiembre 2026</t>
        </is>
      </c>
      <c r="B11" s="19" t="n">
        <v>401.0084615384609</v>
      </c>
      <c r="C11" s="19" t="n">
        <v>20.1474358974359</v>
      </c>
      <c r="D11" s="19" t="n">
        <v>5.38461538461539</v>
      </c>
      <c r="E11" s="19" t="n">
        <v>79.40612179487169</v>
      </c>
      <c r="F11" s="19" t="n">
        <v>3.74107905982906</v>
      </c>
      <c r="G11" s="19" t="n">
        <v>95.3231265847926</v>
      </c>
      <c r="H11" s="19" t="inlineStr">
        <is>
          <t>2026-09</t>
        </is>
      </c>
      <c r="I11" s="19" t="n">
        <v>386</v>
      </c>
      <c r="J11" s="19" t="n">
        <v>9</v>
      </c>
      <c r="K11" s="19" t="n">
        <v>247</v>
      </c>
      <c r="L11" s="19" t="n">
        <v>0.0233160621761658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2026-10-07T02:00:24Z</dcterms:created>
  <dcterms:modified xmlns:dcterms="http://purl.org/dc/terms/" xmlns:xsi="http://www.w3.org/2001/XMLSchema-instance" xsi:type="dcterms:W3CDTF">2026-10-07T02:00:24Z</dcterms:modified>
</cp:coreProperties>
</file>